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ctober 2024 - 2025"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<sst xmlns="http://schemas.openxmlformats.org/spreadsheetml/2006/main" count="50" uniqueCount="40">
  <si>
    <t xml:space="preserve">Year</t>
  </si>
  <si>
    <t xml:space="preserve">Age</t>
  </si>
  <si>
    <t xml:space="preserve">Somker</t>
  </si>
  <si>
    <t xml:space="preserve">Yes</t>
  </si>
  <si>
    <t xml:space="preserve">Blood Presure Category</t>
  </si>
  <si>
    <t xml:space="preserve">Indications </t>
  </si>
  <si>
    <t xml:space="preserve">Category</t>
  </si>
  <si>
    <t xml:space="preserve">Systolic mm Hg 
(upper number)</t>
  </si>
  <si>
    <t xml:space="preserve">Condition</t>
  </si>
  <si>
    <t xml:space="preserve">Diastolic mm Hg 
(lower number)</t>
  </si>
  <si>
    <r>
      <rPr>
        <sz val="11"/>
        <color theme="1"/>
        <rFont val="Calibri"/>
        <family val="2"/>
        <charset val="1"/>
      </rPr>
      <t xml:space="preserve">Systolic measurement has always been a main references of indicating whether a person has high blood presure or not. However by combining the Diastolic reading it is really hard to determine whether a person has high blood presure. According to the Medical associations Diastolic is the main causes of heart attack, heart stroke. Therefore the indications of the blood presure would be mainly base on </t>
    </r>
    <r>
      <rPr>
        <b val="true"/>
        <sz val="11"/>
        <color rgb="FFFF0000"/>
        <rFont val="Calibri"/>
        <family val="2"/>
        <charset val="1"/>
      </rPr>
      <t xml:space="preserve">Diastolic readings</t>
    </r>
    <r>
      <rPr>
        <sz val="11"/>
        <color theme="1"/>
        <rFont val="Calibri"/>
        <family val="0"/>
        <charset val="134"/>
      </rPr>
      <t xml:space="preserve">.  </t>
    </r>
  </si>
  <si>
    <t xml:space="preserve">Normal</t>
  </si>
  <si>
    <t xml:space="preserve">Less than 120</t>
  </si>
  <si>
    <t xml:space="preserve">and</t>
  </si>
  <si>
    <t xml:space="preserve">Less than 80</t>
  </si>
  <si>
    <t xml:space="preserve">Elevated</t>
  </si>
  <si>
    <t xml:space="preserve">120 – 129</t>
  </si>
  <si>
    <t xml:space="preserve">High blood pressure (hypertension) Stage 1</t>
  </si>
  <si>
    <t xml:space="preserve">130 – 139</t>
  </si>
  <si>
    <t xml:space="preserve">or</t>
  </si>
  <si>
    <t xml:space="preserve">80 – 89</t>
  </si>
  <si>
    <t xml:space="preserve">High blood pressure (hypertension) Stage 2</t>
  </si>
  <si>
    <t xml:space="preserve">140 or higher</t>
  </si>
  <si>
    <t xml:space="preserve">90 or higher</t>
  </si>
  <si>
    <t xml:space="preserve">Hypertensive crisis (consult your doctor immediately)</t>
  </si>
  <si>
    <t xml:space="preserve">Higher than 180</t>
  </si>
  <si>
    <t xml:space="preserve">and/or</t>
  </si>
  <si>
    <t xml:space="preserve">Higher than 120</t>
  </si>
  <si>
    <t xml:space="preserve">Device Falut / Consult Your Doctor</t>
  </si>
  <si>
    <t xml:space="preserve">Date</t>
  </si>
  <si>
    <t xml:space="preserve">Weight (lbs)</t>
  </si>
  <si>
    <t xml:space="preserve">Blood Presure (mmHg)</t>
  </si>
  <si>
    <t xml:space="preserve">Oximeter</t>
  </si>
  <si>
    <t xml:space="preserve">Morning </t>
  </si>
  <si>
    <t xml:space="preserve">Night</t>
  </si>
  <si>
    <t xml:space="preserve">Morning</t>
  </si>
  <si>
    <t xml:space="preserve">Systolic</t>
  </si>
  <si>
    <t xml:space="preserve">Diastolic</t>
  </si>
  <si>
    <t xml:space="preserve">Pulse</t>
  </si>
  <si>
    <t xml:space="preserve">Percentage of Oxygen In Blood %
100% Most Optimal
Over 95% is Normal </t>
  </si>
</sst>
</file>

<file path=xl/styles.xml><?xml version="1.0" encoding="utf-8"?>
<styleSheet xmlns="http://schemas.openxmlformats.org/spreadsheetml/2006/main">
  <numFmts count="2">
    <numFmt numFmtId="164" formatCode="General"/>
    <numFmt numFmtId="165" formatCode="d\-mmm\-yyyy"/>
  </numFmts>
  <fonts count="9">
    <font>
      <sz val="11"/>
      <color theme="1"/>
      <name val="Calibri"/>
      <family val="0"/>
      <charset val="134"/>
    </font>
    <font>
      <sz val="10"/>
      <name val="Arial"/>
      <family val="0"/>
    </font>
    <font>
      <sz val="10"/>
      <name val="Arial"/>
      <family val="0"/>
    </font>
    <font>
      <sz val="10"/>
      <name val="Arial"/>
      <family val="0"/>
    </font>
    <font>
      <sz val="19"/>
      <color theme="1"/>
      <name val="Calibri"/>
      <family val="2"/>
      <charset val="1"/>
    </font>
    <font>
      <b val="true"/>
      <sz val="11"/>
      <color theme="1"/>
      <name val="Calibri"/>
      <family val="2"/>
      <charset val="1"/>
    </font>
    <font>
      <sz val="11"/>
      <color theme="1"/>
      <name val="Calibri"/>
      <family val="2"/>
      <charset val="1"/>
    </font>
    <font>
      <b val="true"/>
      <sz val="11"/>
      <color rgb="FFFF0000"/>
      <name val="Calibri"/>
      <family val="2"/>
      <charset val="1"/>
    </font>
    <font>
      <sz val="12"/>
      <color rgb="FF1E1E1E"/>
      <name val="Times New Roman"/>
      <family val="1"/>
      <charset val="1"/>
    </font>
  </fonts>
  <fills count="14">
    <fill>
      <patternFill patternType="none"/>
    </fill>
    <fill>
      <patternFill patternType="gray125"/>
    </fill>
    <fill>
      <patternFill patternType="solid">
        <fgColor rgb="FFA4C2F4"/>
        <bgColor rgb="FFB8D7EE"/>
      </patternFill>
    </fill>
    <fill>
      <patternFill patternType="solid">
        <fgColor rgb="FFFFC000"/>
        <bgColor rgb="FFFFD966"/>
      </patternFill>
    </fill>
    <fill>
      <patternFill patternType="solid">
        <fgColor theme="7" tint="0.3998"/>
        <bgColor rgb="FFFFB1A5"/>
      </patternFill>
    </fill>
    <fill>
      <patternFill patternType="solid">
        <fgColor theme="4" tint="0.5999"/>
        <bgColor rgb="FFB8D7EE"/>
      </patternFill>
    </fill>
    <fill>
      <patternFill patternType="solid">
        <fgColor theme="7" tint="0.7998"/>
        <bgColor rgb="FFFFE5E2"/>
      </patternFill>
    </fill>
    <fill>
      <patternFill patternType="solid">
        <fgColor rgb="FFFFE5E2"/>
        <bgColor rgb="FFFFF2CC"/>
      </patternFill>
    </fill>
    <fill>
      <patternFill patternType="solid">
        <fgColor rgb="FFFAB1A5"/>
        <bgColor rgb="FFFFB1A5"/>
      </patternFill>
    </fill>
    <fill>
      <patternFill patternType="solid">
        <fgColor rgb="FFFF6969"/>
        <bgColor rgb="FFFF6600"/>
      </patternFill>
    </fill>
    <fill>
      <patternFill patternType="solid">
        <fgColor rgb="FFFF0000"/>
        <bgColor rgb="FF993300"/>
      </patternFill>
    </fill>
    <fill>
      <patternFill patternType="solid">
        <fgColor theme="0" tint="-0.25"/>
        <bgColor rgb="FFC0C0C0"/>
      </patternFill>
    </fill>
    <fill>
      <patternFill patternType="solid">
        <fgColor rgb="FFFFFF00"/>
        <bgColor rgb="FFFFFF00"/>
      </patternFill>
    </fill>
    <fill>
      <patternFill patternType="solid">
        <fgColor theme="0"/>
        <bgColor rgb="FFFFF2CC"/>
      </patternFill>
    </fill>
  </fills>
  <borders count="5">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top style="thin"/>
      <bottom style="thin"/>
      <diagonal/>
    </border>
    <border diagonalUp="false" diagonalDown="false">
      <left style="thin"/>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5" fillId="4"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left" vertical="center" textRotation="0" wrapText="true" indent="0" shrinkToFit="false"/>
      <protection locked="true" hidden="false"/>
    </xf>
    <xf numFmtId="164" fontId="5" fillId="6" borderId="1" xfId="0" applyFont="true" applyBorder="true" applyAlignment="true" applyProtection="false">
      <alignment horizontal="general" vertical="center" textRotation="0" wrapText="true" indent="0" shrinkToFit="false"/>
      <protection locked="true" hidden="false"/>
    </xf>
    <xf numFmtId="164" fontId="0" fillId="5" borderId="1" xfId="0" applyFont="true" applyBorder="true" applyAlignment="true" applyProtection="false">
      <alignment horizontal="center" vertical="center" textRotation="0" wrapText="false" indent="0" shrinkToFit="false"/>
      <protection locked="true" hidden="false"/>
    </xf>
    <xf numFmtId="164" fontId="0" fillId="7" borderId="1" xfId="0" applyFont="true" applyBorder="true" applyAlignment="true" applyProtection="false">
      <alignment horizontal="center" vertical="center" textRotation="0" wrapText="false" indent="0" shrinkToFit="false"/>
      <protection locked="true" hidden="false"/>
    </xf>
    <xf numFmtId="164" fontId="0" fillId="8" borderId="1" xfId="0" applyFont="true" applyBorder="true" applyAlignment="true" applyProtection="false">
      <alignment horizontal="center" vertical="center" textRotation="0" wrapText="false" indent="0" shrinkToFit="false"/>
      <protection locked="true" hidden="false"/>
    </xf>
    <xf numFmtId="164" fontId="0" fillId="9" borderId="1" xfId="0" applyFont="true" applyBorder="true" applyAlignment="true" applyProtection="false">
      <alignment horizontal="center" vertical="center" textRotation="0" wrapText="false" indent="0" shrinkToFit="false"/>
      <protection locked="true" hidden="false"/>
    </xf>
    <xf numFmtId="164" fontId="0" fillId="10" borderId="1" xfId="0" applyFont="true" applyBorder="true" applyAlignment="true" applyProtection="false">
      <alignment horizontal="center" vertical="center" textRotation="0" wrapText="false" indent="0" shrinkToFit="false"/>
      <protection locked="true" hidden="false"/>
    </xf>
    <xf numFmtId="164" fontId="8" fillId="10" borderId="1" xfId="0" applyFont="true" applyBorder="true" applyAlignment="true" applyProtection="false">
      <alignment horizontal="center" vertical="center" textRotation="0" wrapText="false" indent="0" shrinkToFit="false"/>
      <protection locked="true" hidden="false"/>
    </xf>
    <xf numFmtId="164" fontId="0" fillId="11" borderId="1" xfId="0" applyFont="true" applyBorder="true" applyAlignment="true" applyProtection="false">
      <alignment horizontal="center" vertical="center" textRotation="0" wrapText="false" indent="0" shrinkToFit="false"/>
      <protection locked="true" hidden="false"/>
    </xf>
    <xf numFmtId="164" fontId="5" fillId="12" borderId="1" xfId="0" applyFont="true" applyBorder="true" applyAlignment="true" applyProtection="false">
      <alignment horizontal="center" vertical="center" textRotation="0" wrapText="false" indent="0" shrinkToFit="false"/>
      <protection locked="true" hidden="false"/>
    </xf>
    <xf numFmtId="164" fontId="5" fillId="12" borderId="2" xfId="0" applyFont="true" applyBorder="true" applyAlignment="true" applyProtection="false">
      <alignment horizontal="center" vertical="center" textRotation="0" wrapText="false" indent="0" shrinkToFit="false"/>
      <protection locked="true" hidden="false"/>
    </xf>
    <xf numFmtId="164" fontId="5" fillId="12" borderId="3" xfId="0" applyFont="true" applyBorder="true" applyAlignment="true" applyProtection="false">
      <alignment horizontal="center" vertical="center" textRotation="0" wrapText="false" indent="0" shrinkToFit="false"/>
      <protection locked="true" hidden="false"/>
    </xf>
    <xf numFmtId="164" fontId="5" fillId="12" borderId="4" xfId="0" applyFont="true" applyBorder="true" applyAlignment="true" applyProtection="false">
      <alignment horizontal="center" vertical="center" textRotation="0" wrapText="false" indent="0" shrinkToFit="false"/>
      <protection locked="true" hidden="false"/>
    </xf>
    <xf numFmtId="164" fontId="5" fillId="12" borderId="2" xfId="0" applyFont="true" applyBorder="true" applyAlignment="true" applyProtection="false">
      <alignment horizontal="center" vertical="center" textRotation="0" wrapText="true" indent="0" shrinkToFit="false"/>
      <protection locked="true" hidden="false"/>
    </xf>
    <xf numFmtId="165" fontId="6" fillId="0" borderId="3" xfId="0" applyFont="true" applyBorder="true" applyAlignment="true" applyProtection="false">
      <alignment horizontal="center" vertical="center" textRotation="0" wrapText="false" indent="0" shrinkToFit="false"/>
      <protection locked="true" hidden="false"/>
    </xf>
    <xf numFmtId="164" fontId="6" fillId="13"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4">
    <dxf>
      <fill>
        <patternFill>
          <bgColor theme="0"/>
        </patternFill>
      </fill>
    </dxf>
    <dxf>
      <fill>
        <patternFill>
          <bgColor rgb="FFC0C0C0"/>
        </patternFill>
      </fill>
    </dxf>
    <dxf>
      <fill>
        <patternFill>
          <bgColor rgb="FFFF0000"/>
        </patternFill>
      </fill>
    </dxf>
    <dxf>
      <fill>
        <patternFill>
          <bgColor rgb="FFFF6969"/>
        </patternFill>
      </fill>
    </dxf>
    <dxf>
      <fill>
        <patternFill>
          <bgColor rgb="FFFFB1A5"/>
        </patternFill>
      </fill>
    </dxf>
    <dxf>
      <fill>
        <patternFill>
          <bgColor rgb="FFFF0000"/>
        </patternFill>
      </fill>
    </dxf>
    <dxf>
      <fill>
        <patternFill>
          <bgColor rgb="FFFF6969"/>
        </patternFill>
      </fill>
    </dxf>
    <dxf>
      <fill>
        <patternFill>
          <bgColor rgb="FFFF0000"/>
        </patternFill>
      </fill>
    </dxf>
    <dxf>
      <fill>
        <patternFill>
          <bgColor rgb="FFFF0000"/>
        </patternFill>
      </fill>
    </dxf>
    <dxf>
      <fill>
        <patternFill>
          <bgColor rgb="FFFF6969"/>
        </patternFill>
      </fill>
    </dxf>
    <dxf>
      <fill>
        <patternFill>
          <bgColor rgb="FFFFB1A5"/>
        </patternFill>
      </fill>
    </dxf>
    <dxf>
      <fill>
        <patternFill>
          <bgColor rgb="FFFFE5E2"/>
        </patternFill>
      </fill>
    </dxf>
    <dxf>
      <fill>
        <patternFill>
          <bgColor rgb="FFB8D7EE"/>
        </patternFill>
      </fill>
    </dxf>
    <dxf>
      <fill>
        <patternFill>
          <bgColor rgb="FFFF0000"/>
        </patternFill>
      </fill>
    </dxf>
    <dxf>
      <fill>
        <patternFill>
          <bgColor rgb="FFFF6969"/>
        </patternFill>
      </fill>
    </dxf>
    <dxf>
      <fill>
        <patternFill>
          <bgColor rgb="FFFAB1A5"/>
        </patternFill>
      </fill>
    </dxf>
    <dxf>
      <fill>
        <patternFill>
          <bgColor theme="0"/>
        </patternFill>
      </fill>
    </dxf>
    <dxf>
      <fill>
        <patternFill>
          <bgColor rgb="FFC0C0C0"/>
        </patternFill>
      </fill>
    </dxf>
    <dxf>
      <fill>
        <patternFill>
          <bgColor rgb="FFFF0000"/>
        </patternFill>
      </fill>
    </dxf>
    <dxf>
      <fill>
        <patternFill>
          <bgColor rgb="FFFF6969"/>
        </patternFill>
      </fill>
    </dxf>
    <dxf>
      <fill>
        <patternFill>
          <bgColor rgb="FFFFAAA5"/>
        </patternFill>
      </fill>
    </dxf>
    <dxf>
      <fill>
        <patternFill>
          <bgColor rgb="FFFF0000"/>
        </patternFill>
      </fill>
    </dxf>
    <dxf>
      <fill>
        <patternFill>
          <bgColor rgb="FFFF6969"/>
        </patternFill>
      </fill>
    </dxf>
    <dxf>
      <fill>
        <patternFill>
          <bgColor rgb="FFFF0000"/>
        </patternFill>
      </fill>
    </dxf>
    <dxf>
      <fill>
        <patternFill>
          <bgColor rgb="FFB8D7EE"/>
        </patternFill>
      </fill>
    </dxf>
    <dxf>
      <fill>
        <patternFill>
          <bgColor rgb="FFFF0000"/>
        </patternFill>
      </fill>
    </dxf>
    <dxf>
      <fill>
        <patternFill>
          <bgColor rgb="FFFF6969"/>
        </patternFill>
      </fill>
    </dxf>
    <dxf>
      <fill>
        <patternFill>
          <bgColor rgb="FFFAB1A5"/>
        </patternFill>
      </fill>
    </dxf>
    <dxf>
      <fill>
        <patternFill>
          <bgColor rgb="FFFFE5E2"/>
        </patternFill>
      </fill>
    </dxf>
    <dxf>
      <fill>
        <patternFill>
          <bgColor rgb="FFFF0000"/>
        </patternFill>
      </fill>
    </dxf>
    <dxf>
      <fill>
        <patternFill>
          <bgColor rgb="FFFF6969"/>
        </patternFill>
      </fill>
    </dxf>
    <dxf>
      <fill>
        <patternFill>
          <bgColor rgb="FFFAB1A5"/>
        </patternFill>
      </fill>
    </dxf>
    <dxf>
      <fill>
        <patternFill>
          <bgColor rgb="FFFFE5E2"/>
        </patternFill>
      </fill>
    </dxf>
    <dxf>
      <fill>
        <patternFill>
          <bgColor rgb="FFB8D7E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B8D7EE"/>
      <rgbColor rgb="FF660066"/>
      <rgbColor rgb="FFFF6969"/>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E5E2"/>
      <rgbColor rgb="FFA4C2F4"/>
      <rgbColor rgb="FFFFAAA5"/>
      <rgbColor rgb="FFBFBFBF"/>
      <rgbColor rgb="FFFFD966"/>
      <rgbColor rgb="FF3366FF"/>
      <rgbColor rgb="FF33CCCC"/>
      <rgbColor rgb="FF99CC00"/>
      <rgbColor rgb="FFFFC000"/>
      <rgbColor rgb="FFFFB1A5"/>
      <rgbColor rgb="FFFF6600"/>
      <rgbColor rgb="FF666699"/>
      <rgbColor rgb="FFFAB1A5"/>
      <rgbColor rgb="FF003366"/>
      <rgbColor rgb="FF339966"/>
      <rgbColor rgb="FF003300"/>
      <rgbColor rgb="FF333300"/>
      <rgbColor rgb="FF993300"/>
      <rgbColor rgb="FF993366"/>
      <rgbColor rgb="FF333399"/>
      <rgbColor rgb="FF1E1E1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09"/>
  <sheetViews>
    <sheetView showFormulas="false" showGridLines="true" showRowColHeaders="true" showZeros="true" rightToLeft="false" tabSelected="true" showOutlineSymbols="true" defaultGridColor="true" view="normal" topLeftCell="A10" colorId="64" zoomScale="100" zoomScaleNormal="100" zoomScalePageLayoutView="100" workbookViewId="0">
      <selection pane="topLeft" activeCell="B17" activeCellId="0" sqref="B17"/>
    </sheetView>
  </sheetViews>
  <sheetFormatPr defaultColWidth="14.42578125" defaultRowHeight="15" zeroHeight="false" outlineLevelRow="0" outlineLevelCol="0"/>
  <cols>
    <col collapsed="false" customWidth="true" hidden="false" outlineLevel="0" max="1" min="1" style="0" width="22.57"/>
    <col collapsed="false" customWidth="true" hidden="false" outlineLevel="0" max="2" min="2" style="1" width="19.57"/>
    <col collapsed="false" customWidth="true" hidden="false" outlineLevel="0" max="4" min="3" style="0" width="19.57"/>
    <col collapsed="false" customWidth="true" hidden="false" outlineLevel="0" max="5" min="5" style="1" width="19.57"/>
    <col collapsed="false" customWidth="true" hidden="false" outlineLevel="0" max="7" min="6" style="0" width="19.57"/>
    <col collapsed="false" customWidth="true" hidden="false" outlineLevel="0" max="9" min="8" style="1" width="19.57"/>
    <col collapsed="false" customWidth="true" hidden="false" outlineLevel="0" max="10" min="10" style="1" width="20.57"/>
  </cols>
  <sheetData>
    <row r="1" customFormat="false" ht="25.5" hidden="false" customHeight="true" outlineLevel="0" collapsed="false">
      <c r="A1" s="2" t="s">
        <v>0</v>
      </c>
      <c r="B1" s="3" t="n">
        <v>2024</v>
      </c>
      <c r="E1" s="2" t="s">
        <v>1</v>
      </c>
      <c r="F1" s="3" t="n">
        <f aca="false">B1-1979</f>
        <v>45</v>
      </c>
      <c r="I1" s="2" t="s">
        <v>2</v>
      </c>
      <c r="J1" s="3" t="s">
        <v>3</v>
      </c>
    </row>
    <row r="4" customFormat="false" ht="15" hidden="false" customHeight="true" outlineLevel="0" collapsed="false">
      <c r="A4" s="4" t="s">
        <v>4</v>
      </c>
      <c r="B4" s="4"/>
      <c r="C4" s="4"/>
      <c r="D4" s="4"/>
      <c r="F4" s="4" t="s">
        <v>5</v>
      </c>
      <c r="G4" s="4"/>
      <c r="H4" s="4"/>
    </row>
    <row r="5" customFormat="false" ht="54" hidden="false" customHeight="true" outlineLevel="0" collapsed="false">
      <c r="A5" s="5" t="s">
        <v>6</v>
      </c>
      <c r="B5" s="5" t="s">
        <v>7</v>
      </c>
      <c r="C5" s="5" t="s">
        <v>8</v>
      </c>
      <c r="D5" s="5" t="s">
        <v>9</v>
      </c>
      <c r="F5" s="6" t="s">
        <v>10</v>
      </c>
      <c r="G5" s="6"/>
      <c r="H5" s="6"/>
    </row>
    <row r="6" customFormat="false" ht="15" hidden="false" customHeight="true" outlineLevel="0" collapsed="false">
      <c r="A6" s="7" t="s">
        <v>11</v>
      </c>
      <c r="B6" s="8" t="s">
        <v>12</v>
      </c>
      <c r="C6" s="8" t="s">
        <v>13</v>
      </c>
      <c r="D6" s="8" t="s">
        <v>14</v>
      </c>
      <c r="F6" s="6"/>
      <c r="G6" s="6"/>
      <c r="H6" s="6"/>
    </row>
    <row r="7" customFormat="false" ht="15" hidden="false" customHeight="true" outlineLevel="0" collapsed="false">
      <c r="A7" s="7" t="s">
        <v>15</v>
      </c>
      <c r="B7" s="9" t="s">
        <v>16</v>
      </c>
      <c r="C7" s="9" t="s">
        <v>13</v>
      </c>
      <c r="D7" s="9" t="s">
        <v>14</v>
      </c>
      <c r="F7" s="6"/>
      <c r="G7" s="6"/>
      <c r="H7" s="6"/>
    </row>
    <row r="8" customFormat="false" ht="23.85" hidden="false" customHeight="false" outlineLevel="0" collapsed="false">
      <c r="A8" s="7" t="s">
        <v>17</v>
      </c>
      <c r="B8" s="10" t="s">
        <v>18</v>
      </c>
      <c r="C8" s="10" t="s">
        <v>19</v>
      </c>
      <c r="D8" s="10" t="s">
        <v>20</v>
      </c>
      <c r="F8" s="6"/>
      <c r="G8" s="6"/>
      <c r="H8" s="6"/>
    </row>
    <row r="9" customFormat="false" ht="23.85" hidden="false" customHeight="false" outlineLevel="0" collapsed="false">
      <c r="A9" s="7" t="s">
        <v>21</v>
      </c>
      <c r="B9" s="11" t="s">
        <v>22</v>
      </c>
      <c r="C9" s="11" t="s">
        <v>19</v>
      </c>
      <c r="D9" s="11" t="s">
        <v>23</v>
      </c>
    </row>
    <row r="10" customFormat="false" ht="35.05" hidden="false" customHeight="false" outlineLevel="0" collapsed="false">
      <c r="A10" s="7" t="s">
        <v>24</v>
      </c>
      <c r="B10" s="12" t="s">
        <v>25</v>
      </c>
      <c r="C10" s="12" t="s">
        <v>26</v>
      </c>
      <c r="D10" s="13" t="s">
        <v>27</v>
      </c>
    </row>
    <row r="11" customFormat="false" ht="23.85" hidden="false" customHeight="false" outlineLevel="0" collapsed="false">
      <c r="A11" s="7" t="s">
        <v>28</v>
      </c>
      <c r="B11" s="14" t="s">
        <v>12</v>
      </c>
      <c r="C11" s="14" t="s">
        <v>13</v>
      </c>
      <c r="D11" s="14" t="s">
        <v>27</v>
      </c>
    </row>
    <row r="14" customFormat="false" ht="15" hidden="false" customHeight="false" outlineLevel="0" collapsed="false">
      <c r="A14" s="15" t="s">
        <v>29</v>
      </c>
      <c r="B14" s="16" t="s">
        <v>30</v>
      </c>
      <c r="C14" s="17" t="s">
        <v>31</v>
      </c>
      <c r="D14" s="17"/>
      <c r="E14" s="17"/>
      <c r="F14" s="17"/>
      <c r="G14" s="17"/>
      <c r="H14" s="17"/>
      <c r="I14" s="15" t="s">
        <v>32</v>
      </c>
      <c r="J14" s="15"/>
    </row>
    <row r="15" customFormat="false" ht="15" hidden="false" customHeight="false" outlineLevel="0" collapsed="false">
      <c r="A15" s="15"/>
      <c r="B15" s="16"/>
      <c r="C15" s="15" t="s">
        <v>33</v>
      </c>
      <c r="D15" s="15"/>
      <c r="E15" s="15"/>
      <c r="F15" s="17" t="s">
        <v>34</v>
      </c>
      <c r="G15" s="17"/>
      <c r="H15" s="17"/>
      <c r="I15" s="15" t="s">
        <v>35</v>
      </c>
      <c r="J15" s="15" t="s">
        <v>34</v>
      </c>
    </row>
    <row r="16" customFormat="false" ht="48.75" hidden="false" customHeight="true" outlineLevel="0" collapsed="false">
      <c r="A16" s="15"/>
      <c r="B16" s="16"/>
      <c r="C16" s="16" t="s">
        <v>36</v>
      </c>
      <c r="D16" s="16" t="s">
        <v>37</v>
      </c>
      <c r="E16" s="16" t="s">
        <v>38</v>
      </c>
      <c r="F16" s="16" t="s">
        <v>36</v>
      </c>
      <c r="G16" s="16" t="s">
        <v>37</v>
      </c>
      <c r="H16" s="18" t="s">
        <v>38</v>
      </c>
      <c r="I16" s="19" t="s">
        <v>39</v>
      </c>
      <c r="J16" s="19"/>
    </row>
    <row r="17" customFormat="false" ht="15" hidden="false" customHeight="false" outlineLevel="0" collapsed="false">
      <c r="A17" s="20" t="n">
        <v>45616</v>
      </c>
      <c r="B17" s="21"/>
      <c r="C17" s="21"/>
      <c r="D17" s="21"/>
      <c r="E17" s="21"/>
      <c r="F17" s="21"/>
      <c r="G17" s="21"/>
      <c r="H17" s="21"/>
      <c r="I17" s="22" t="n">
        <v>97</v>
      </c>
      <c r="J17" s="22"/>
    </row>
    <row r="18" customFormat="false" ht="15.75" hidden="false" customHeight="true" outlineLevel="0" collapsed="false">
      <c r="A18" s="20" t="n">
        <f aca="false">A17+7</f>
        <v>45623</v>
      </c>
      <c r="B18" s="22"/>
      <c r="C18" s="21"/>
      <c r="D18" s="21"/>
      <c r="E18" s="22"/>
      <c r="F18" s="21"/>
      <c r="G18" s="21"/>
      <c r="H18" s="22"/>
      <c r="I18" s="22"/>
      <c r="J18" s="22"/>
    </row>
    <row r="19" customFormat="false" ht="15.75" hidden="false" customHeight="true" outlineLevel="0" collapsed="false">
      <c r="A19" s="20" t="n">
        <f aca="false">A18+7</f>
        <v>45630</v>
      </c>
      <c r="B19" s="22"/>
      <c r="C19" s="21"/>
      <c r="D19" s="21"/>
      <c r="E19" s="22"/>
      <c r="F19" s="21"/>
      <c r="G19" s="21"/>
      <c r="H19" s="22"/>
      <c r="I19" s="22"/>
      <c r="J19" s="22"/>
    </row>
    <row r="20" customFormat="false" ht="15.75" hidden="false" customHeight="true" outlineLevel="0" collapsed="false">
      <c r="A20" s="20" t="n">
        <f aca="false">A19+7</f>
        <v>45637</v>
      </c>
      <c r="B20" s="22"/>
      <c r="C20" s="21"/>
      <c r="D20" s="21"/>
      <c r="E20" s="22"/>
      <c r="F20" s="21"/>
      <c r="G20" s="21"/>
      <c r="H20" s="22"/>
      <c r="I20" s="22"/>
      <c r="J20" s="22"/>
    </row>
    <row r="21" customFormat="false" ht="15.75" hidden="false" customHeight="true" outlineLevel="0" collapsed="false">
      <c r="A21" s="20" t="n">
        <f aca="false">A20+7</f>
        <v>45644</v>
      </c>
      <c r="B21" s="22"/>
      <c r="C21" s="21"/>
      <c r="D21" s="21"/>
      <c r="E21" s="22"/>
      <c r="F21" s="21"/>
      <c r="G21" s="21"/>
      <c r="H21" s="22"/>
      <c r="I21" s="22"/>
      <c r="J21" s="22"/>
    </row>
    <row r="22" customFormat="false" ht="15.75" hidden="false" customHeight="true" outlineLevel="0" collapsed="false">
      <c r="A22" s="20" t="n">
        <f aca="false">A21+7</f>
        <v>45651</v>
      </c>
      <c r="B22" s="22"/>
      <c r="C22" s="21"/>
      <c r="D22" s="21"/>
      <c r="E22" s="22"/>
      <c r="F22" s="21"/>
      <c r="G22" s="21"/>
      <c r="H22" s="22"/>
      <c r="I22" s="22"/>
      <c r="J22" s="22"/>
    </row>
    <row r="23" customFormat="false" ht="15.75" hidden="false" customHeight="true" outlineLevel="0" collapsed="false">
      <c r="A23" s="20" t="n">
        <f aca="false">A22+7</f>
        <v>45658</v>
      </c>
      <c r="B23" s="22"/>
      <c r="C23" s="21"/>
      <c r="D23" s="21"/>
      <c r="E23" s="22"/>
      <c r="F23" s="21"/>
      <c r="G23" s="21"/>
      <c r="H23" s="22"/>
      <c r="I23" s="22"/>
      <c r="J23" s="22"/>
    </row>
    <row r="24" customFormat="false" ht="15.75" hidden="false" customHeight="true" outlineLevel="0" collapsed="false">
      <c r="A24" s="20" t="n">
        <f aca="false">A23+7</f>
        <v>45665</v>
      </c>
      <c r="B24" s="22"/>
      <c r="C24" s="21"/>
      <c r="D24" s="21"/>
      <c r="E24" s="22"/>
      <c r="F24" s="21"/>
      <c r="G24" s="21"/>
      <c r="H24" s="22"/>
      <c r="I24" s="22"/>
      <c r="J24" s="22"/>
    </row>
    <row r="25" customFormat="false" ht="15.75" hidden="false" customHeight="true" outlineLevel="0" collapsed="false">
      <c r="A25" s="20" t="n">
        <f aca="false">A24+7</f>
        <v>45672</v>
      </c>
      <c r="B25" s="22"/>
      <c r="C25" s="21"/>
      <c r="D25" s="21"/>
      <c r="E25" s="22"/>
      <c r="F25" s="21"/>
      <c r="G25" s="21"/>
      <c r="H25" s="22"/>
      <c r="I25" s="22"/>
      <c r="J25" s="22"/>
    </row>
    <row r="26" customFormat="false" ht="15.75" hidden="false" customHeight="true" outlineLevel="0" collapsed="false">
      <c r="A26" s="20" t="n">
        <f aca="false">A25+7</f>
        <v>45679</v>
      </c>
      <c r="B26" s="22"/>
      <c r="C26" s="21"/>
      <c r="D26" s="21"/>
      <c r="E26" s="22"/>
      <c r="F26" s="21"/>
      <c r="G26" s="21"/>
      <c r="H26" s="22"/>
      <c r="I26" s="22"/>
      <c r="J26" s="22"/>
    </row>
    <row r="27" customFormat="false" ht="15.75" hidden="false" customHeight="true" outlineLevel="0" collapsed="false">
      <c r="A27" s="20" t="n">
        <f aca="false">A26+7</f>
        <v>45686</v>
      </c>
      <c r="B27" s="22"/>
      <c r="C27" s="21"/>
      <c r="D27" s="21"/>
      <c r="E27" s="22"/>
      <c r="F27" s="21"/>
      <c r="G27" s="21"/>
      <c r="H27" s="22"/>
      <c r="I27" s="22"/>
      <c r="J27" s="22"/>
    </row>
    <row r="28" customFormat="false" ht="15.75" hidden="false" customHeight="true" outlineLevel="0" collapsed="false">
      <c r="A28" s="20" t="n">
        <f aca="false">A27+7</f>
        <v>45693</v>
      </c>
      <c r="B28" s="22"/>
      <c r="C28" s="21"/>
      <c r="D28" s="21"/>
      <c r="E28" s="22"/>
      <c r="F28" s="21"/>
      <c r="G28" s="21"/>
      <c r="H28" s="22"/>
      <c r="I28" s="22"/>
      <c r="J28" s="22"/>
    </row>
    <row r="29" customFormat="false" ht="15.75" hidden="false" customHeight="true" outlineLevel="0" collapsed="false">
      <c r="A29" s="20" t="n">
        <f aca="false">A28+7</f>
        <v>45700</v>
      </c>
      <c r="B29" s="22"/>
      <c r="C29" s="21"/>
      <c r="D29" s="21"/>
      <c r="E29" s="22"/>
      <c r="F29" s="21"/>
      <c r="G29" s="21"/>
      <c r="H29" s="22"/>
      <c r="I29" s="22"/>
      <c r="J29" s="22"/>
    </row>
    <row r="30" customFormat="false" ht="15.75" hidden="false" customHeight="true" outlineLevel="0" collapsed="false">
      <c r="A30" s="20" t="n">
        <f aca="false">A29+7</f>
        <v>45707</v>
      </c>
      <c r="B30" s="22"/>
      <c r="C30" s="21"/>
      <c r="D30" s="21"/>
      <c r="E30" s="22"/>
      <c r="F30" s="21"/>
      <c r="G30" s="21"/>
      <c r="H30" s="22"/>
      <c r="I30" s="22"/>
      <c r="J30" s="22"/>
    </row>
    <row r="31" customFormat="false" ht="15.75" hidden="false" customHeight="true" outlineLevel="0" collapsed="false">
      <c r="A31" s="20" t="n">
        <f aca="false">A30+7</f>
        <v>45714</v>
      </c>
      <c r="B31" s="22"/>
      <c r="C31" s="21"/>
      <c r="D31" s="21"/>
      <c r="E31" s="22"/>
      <c r="F31" s="21"/>
      <c r="G31" s="21"/>
      <c r="H31" s="22"/>
      <c r="I31" s="22"/>
      <c r="J31" s="22"/>
    </row>
    <row r="32" customFormat="false" ht="15.75" hidden="false" customHeight="true" outlineLevel="0" collapsed="false">
      <c r="A32" s="20" t="n">
        <f aca="false">A31+7</f>
        <v>45721</v>
      </c>
      <c r="B32" s="22"/>
      <c r="C32" s="21"/>
      <c r="D32" s="21"/>
      <c r="E32" s="22"/>
      <c r="F32" s="21"/>
      <c r="G32" s="21"/>
      <c r="H32" s="22"/>
      <c r="I32" s="22"/>
      <c r="J32" s="22"/>
    </row>
    <row r="33" customFormat="false" ht="15.75" hidden="false" customHeight="true" outlineLevel="0" collapsed="false">
      <c r="A33" s="20" t="n">
        <f aca="false">A32+7</f>
        <v>45728</v>
      </c>
      <c r="B33" s="22"/>
      <c r="C33" s="21"/>
      <c r="D33" s="21"/>
      <c r="E33" s="22"/>
      <c r="F33" s="21"/>
      <c r="G33" s="21"/>
      <c r="H33" s="22"/>
      <c r="I33" s="22"/>
      <c r="J33" s="22"/>
    </row>
    <row r="34" customFormat="false" ht="15.75" hidden="false" customHeight="true" outlineLevel="0" collapsed="false">
      <c r="A34" s="20" t="n">
        <f aca="false">A33+7</f>
        <v>45735</v>
      </c>
      <c r="B34" s="22"/>
      <c r="C34" s="21"/>
      <c r="D34" s="21"/>
      <c r="E34" s="22"/>
      <c r="F34" s="21"/>
      <c r="G34" s="21"/>
      <c r="H34" s="22"/>
      <c r="I34" s="22"/>
      <c r="J34" s="22"/>
    </row>
    <row r="35" customFormat="false" ht="15.75" hidden="false" customHeight="true" outlineLevel="0" collapsed="false">
      <c r="A35" s="20" t="n">
        <f aca="false">A34+7</f>
        <v>45742</v>
      </c>
      <c r="B35" s="22"/>
      <c r="C35" s="21"/>
      <c r="D35" s="21"/>
      <c r="E35" s="22"/>
      <c r="F35" s="21"/>
      <c r="G35" s="21"/>
      <c r="H35" s="22"/>
      <c r="I35" s="22"/>
      <c r="J35" s="22"/>
    </row>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sheetData>
  <mergeCells count="10">
    <mergeCell ref="A4:D4"/>
    <mergeCell ref="F4:H4"/>
    <mergeCell ref="F5:H8"/>
    <mergeCell ref="A14:A16"/>
    <mergeCell ref="B14:B16"/>
    <mergeCell ref="C14:H14"/>
    <mergeCell ref="I14:J14"/>
    <mergeCell ref="C15:E15"/>
    <mergeCell ref="F15:H15"/>
    <mergeCell ref="I16:J16"/>
  </mergeCells>
  <conditionalFormatting sqref="D17:D35 G17:G35">
    <cfRule type="expression" priority="2" aboveAverage="0" equalAverage="0" bottom="0" percent="0" rank="0" text="" dxfId="0">
      <formula>C17=""</formula>
    </cfRule>
    <cfRule type="expression" priority="3" aboveAverage="0" equalAverage="0" bottom="0" percent="0" rank="0" text="" dxfId="1">
      <formula>IF(C17&lt;120,IF(D17&gt;=120,1,0),0)</formula>
    </cfRule>
    <cfRule type="expression" priority="4" aboveAverage="0" equalAverage="0" bottom="0" percent="0" rank="0" text="" dxfId="2">
      <formula>IF(AND(IF(C17&lt;=129,1,0),IF(D17&gt;=120,1,0)),1,0)</formula>
    </cfRule>
    <cfRule type="expression" priority="5" aboveAverage="0" equalAverage="0" bottom="0" percent="0" rank="0" text="" dxfId="3">
      <formula>IF(AND(IF(C17&lt;=129,1,0),IF(D17&gt;=90,1,0)),1,0)</formula>
    </cfRule>
    <cfRule type="expression" priority="6" aboveAverage="0" equalAverage="0" bottom="0" percent="0" rank="0" text="" dxfId="4">
      <formula>IF(AND(IF(C17&lt;=129,1,0),IF(D17&gt;=80,1,0)),1,0)</formula>
    </cfRule>
    <cfRule type="expression" priority="7" aboveAverage="0" equalAverage="0" bottom="0" percent="0" rank="0" text="" dxfId="5">
      <formula>IF(AND(IF(C17&lt;=139,1,0),IF(D17&gt;=120,1,0)),1,0)</formula>
    </cfRule>
    <cfRule type="expression" priority="8" aboveAverage="0" equalAverage="0" bottom="0" percent="0" rank="0" text="" dxfId="6">
      <formula>IF(AND(IF(C17&lt;=139,1,0),IF(D17&gt;=90,1,0)),1,0)</formula>
    </cfRule>
    <cfRule type="expression" priority="9" aboveAverage="0" equalAverage="0" bottom="0" percent="0" rank="0" text="" dxfId="7">
      <formula>IF(AND(IF(C17&gt;=140,1,0),IF(D17&gt;=120,1,0)),1,0)</formula>
    </cfRule>
    <cfRule type="expression" priority="10" aboveAverage="0" equalAverage="0" bottom="0" percent="0" rank="0" text="" dxfId="8">
      <formula>IF(C17&gt;=180,1,0)</formula>
    </cfRule>
    <cfRule type="expression" priority="11" aboveAverage="0" equalAverage="0" bottom="0" percent="0" rank="0" text="" dxfId="9">
      <formula>IF(C17&gt;=140,1,0)</formula>
    </cfRule>
    <cfRule type="expression" priority="12" aboveAverage="0" equalAverage="0" bottom="0" percent="0" rank="0" text="" dxfId="10">
      <formula>IF(C17&gt;=130,1,0)</formula>
    </cfRule>
    <cfRule type="expression" priority="13" aboveAverage="0" equalAverage="0" bottom="0" percent="0" rank="0" text="" dxfId="11">
      <formula>IF(C17&gt;=120,1,0)</formula>
    </cfRule>
    <cfRule type="cellIs" priority="14" operator="lessThan" aboveAverage="0" equalAverage="0" bottom="0" percent="0" rank="0" text="" dxfId="12">
      <formula>80</formula>
    </cfRule>
    <cfRule type="cellIs" priority="15" operator="greaterThanOrEqual" aboveAverage="0" equalAverage="0" bottom="0" percent="0" rank="0" text="" dxfId="13">
      <formula>120</formula>
    </cfRule>
    <cfRule type="cellIs" priority="16" operator="greaterThan" aboveAverage="0" equalAverage="0" bottom="0" percent="0" rank="0" text="" dxfId="14">
      <formula>90</formula>
    </cfRule>
    <cfRule type="cellIs" priority="17" operator="between" aboveAverage="0" equalAverage="0" bottom="0" percent="0" rank="0" text="" dxfId="15">
      <formula>80</formula>
      <formula>90</formula>
    </cfRule>
  </conditionalFormatting>
  <conditionalFormatting sqref="C17:C35 F17:F35">
    <cfRule type="expression" priority="18" aboveAverage="0" equalAverage="0" bottom="0" percent="0" rank="0" text="" dxfId="16">
      <formula>C17=""</formula>
    </cfRule>
    <cfRule type="expression" priority="19" aboveAverage="0" equalAverage="0" bottom="0" percent="0" rank="0" text="" dxfId="17">
      <formula>IF(C17&lt;120,IF(D17&gt;=120,1,0),0)</formula>
    </cfRule>
    <cfRule type="expression" priority="20" aboveAverage="0" equalAverage="0" bottom="0" percent="0" rank="0" text="" dxfId="18">
      <formula>IF(AND(IF(C17&lt;=129,1,0),IF(D17&gt;=120,1,0)),1,0)</formula>
    </cfRule>
    <cfRule type="expression" priority="21" aboveAverage="0" equalAverage="0" bottom="0" percent="0" rank="0" text="" dxfId="19">
      <formula>IF(AND(IF(C17&lt;=129,1,0),IF(D17&gt;=90,1,0)),1,0)</formula>
    </cfRule>
    <cfRule type="expression" priority="22" aboveAverage="0" equalAverage="0" bottom="0" percent="0" rank="0" text="" dxfId="20">
      <formula>IF(AND(IF(C17&lt;=129,1,0),IF(D17&gt;=80,1,0)),1,0)</formula>
    </cfRule>
    <cfRule type="expression" priority="23" aboveAverage="0" equalAverage="0" bottom="0" percent="0" rank="0" text="" dxfId="21">
      <formula>IF(AND(IF(C17&lt;=139,1,0),IF(D17&gt;=120,1,0)),1,0)</formula>
    </cfRule>
    <cfRule type="expression" priority="24" aboveAverage="0" equalAverage="0" bottom="0" percent="0" rank="0" text="" dxfId="22">
      <formula>IF(AND(IF(C17&lt;=139,1,0),IF(D17&gt;=90,1,0)),1,0)</formula>
    </cfRule>
    <cfRule type="expression" priority="25" aboveAverage="0" equalAverage="0" bottom="0" percent="0" rank="0" text="" dxfId="23">
      <formula>IF(AND(IF(C17&gt;=140,1,0),IF(D17&gt;=120,1,0)),1,0)</formula>
    </cfRule>
    <cfRule type="expression" priority="26" aboveAverage="0" equalAverage="0" bottom="0" percent="0" rank="0" text="" dxfId="24">
      <formula>IF(AND(IF(C17&lt;120,1,0),IF(D17="",1,0)),1,0)</formula>
    </cfRule>
    <cfRule type="expression" priority="27" aboveAverage="0" equalAverage="0" bottom="0" percent="0" rank="0" text="" dxfId="25">
      <formula>IF(AND(IF(C17&gt;=180,1,0),IF(D17="",1,0)),1,0)</formula>
    </cfRule>
    <cfRule type="expression" priority="28" aboveAverage="0" equalAverage="0" bottom="0" percent="0" rank="0" text="" dxfId="26">
      <formula>IF(AND(IF(C17&gt;=140,1,0),IF(D17="",1,0)),1,0)</formula>
    </cfRule>
    <cfRule type="expression" priority="29" aboveAverage="0" equalAverage="0" bottom="0" percent="0" rank="0" text="" dxfId="27">
      <formula>IF(AND(IF(C17&gt;=130,1,0),IF(D17="",1,0)),1,0)</formula>
    </cfRule>
    <cfRule type="expression" priority="30" aboveAverage="0" equalAverage="0" bottom="0" percent="0" rank="0" text="" dxfId="28">
      <formula>IF(AND(IF(C17&gt;=120,1,0),IF(D17="",1,0)),1,0)</formula>
    </cfRule>
    <cfRule type="expression" priority="31" aboveAverage="0" equalAverage="0" bottom="0" percent="0" rank="0" text="" dxfId="29">
      <formula>IF(C17&gt;=180,1,0)</formula>
    </cfRule>
    <cfRule type="expression" priority="32" aboveAverage="0" equalAverage="0" bottom="0" percent="0" rank="0" text="" dxfId="30">
      <formula>IF(C17&gt;=140,1,0)</formula>
    </cfRule>
    <cfRule type="cellIs" priority="33" operator="greaterThanOrEqual" aboveAverage="0" equalAverage="0" bottom="0" percent="0" rank="0" text="" dxfId="31">
      <formula>130</formula>
    </cfRule>
    <cfRule type="cellIs" priority="34" operator="greaterThanOrEqual" aboveAverage="0" equalAverage="0" bottom="0" percent="0" rank="0" text="" dxfId="32">
      <formula>120</formula>
    </cfRule>
    <cfRule type="cellIs" priority="35" operator="lessThan" aboveAverage="0" equalAverage="0" bottom="0" percent="0" rank="0" text="" dxfId="33">
      <formula>120</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LibreOffice/24.8.2.1$Windows_X86_64 LibreOffice_project/0f794b6e29741098670a3b95d60478a65d05ef13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2021-09-24T18:58:00Z</dcterms:created>
  <dc:creator>progr</dc:creator>
  <dc:description/>
  <dc:language>en-US</dc:language>
  <cp:lastModifiedBy/>
  <dcterms:modified xsi:type="dcterms:W3CDTF">2024-11-09T22:42:15Z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EBBE32206F914B038D203C772482185F</vt:lpwstr>
  </property>
  <property fmtid="{D5CDD505-2E9C-101B-9397-08002B2CF9AE}" pid="3" name="KSOProductBuildVer">
    <vt:lpwstr>1033-11.2.0.11537</vt:lpwstr>
  </property>
</Properties>
</file>